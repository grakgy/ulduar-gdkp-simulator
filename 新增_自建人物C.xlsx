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8580"/>
  </bookViews>
  <sheets>
    <sheet name="完整属性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<sst xmlns="http://schemas.openxmlformats.org/spreadsheetml/2006/main" count="304" uniqueCount="185">
  <si>
    <t>人物ID</t>
  </si>
  <si>
    <t>名称</t>
  </si>
  <si>
    <t>职业</t>
  </si>
  <si>
    <t>报名专精</t>
  </si>
  <si>
    <t>报名职责</t>
  </si>
  <si>
    <t>装等</t>
  </si>
  <si>
    <t>公开副修</t>
  </si>
  <si>
    <t>公开进度</t>
  </si>
  <si>
    <t>成就验证</t>
  </si>
  <si>
    <t>消费自述</t>
  </si>
  <si>
    <t>报名密语池</t>
  </si>
  <si>
    <t>战斗档位</t>
  </si>
  <si>
    <t>主能力</t>
  </si>
  <si>
    <t>机制</t>
  </si>
  <si>
    <t>意识</t>
  </si>
  <si>
    <t>稳定</t>
  </si>
  <si>
    <t>团队</t>
  </si>
  <si>
    <t>学习</t>
  </si>
  <si>
    <t>心态</t>
  </si>
  <si>
    <t>抗压</t>
  </si>
  <si>
    <t>八项能力均值</t>
  </si>
  <si>
    <t>主社交</t>
  </si>
  <si>
    <t>副社交</t>
  </si>
  <si>
    <t>基础退团率</t>
  </si>
  <si>
    <t>经济类型</t>
  </si>
  <si>
    <t>钱包金币</t>
  </si>
  <si>
    <t>保留金币</t>
  </si>
  <si>
    <t>可用金币</t>
  </si>
  <si>
    <t>消费意愿</t>
  </si>
  <si>
    <t>竞价侵略</t>
  </si>
  <si>
    <t>议价系数</t>
  </si>
  <si>
    <t>购买偏好</t>
  </si>
  <si>
    <t>自述诚实度</t>
  </si>
  <si>
    <t>来源类型</t>
  </si>
  <si>
    <t>性格类型</t>
  </si>
  <si>
    <t>优势标签</t>
  </si>
  <si>
    <t>弱点标签</t>
  </si>
  <si>
    <t>特殊规则</t>
  </si>
  <si>
    <t>退团政策</t>
  </si>
  <si>
    <t>人物描述</t>
  </si>
  <si>
    <t>主专精技能</t>
  </si>
  <si>
    <t>Boss经验</t>
  </si>
  <si>
    <t>愿意切换</t>
  </si>
  <si>
    <t>公开声明</t>
  </si>
  <si>
    <t>P121</t>
  </si>
  <si>
    <t>孤独的猎心者</t>
  </si>
  <si>
    <t>猎人</t>
  </si>
  <si>
    <t>射击猎</t>
  </si>
  <si>
    <t>远程DPS</t>
  </si>
  <si>
    <t/>
  </si>
  <si>
    <t>无链接（旧团本合影）</t>
  </si>
  <si>
    <t>否</t>
  </si>
  <si>
    <t>合理出价</t>
  </si>
  <si>
    <t>射击猎熟练|远程输出求组|机制会处理</t>
  </si>
  <si>
    <t>优秀</t>
  </si>
  <si>
    <t>老黄牛</t>
  </si>
  <si>
    <t>不开麦</t>
  </si>
  <si>
    <t>实力消费</t>
  </si>
  <si>
    <t>合理提升|武器|饰品</t>
  </si>
  <si>
    <t>自建人物C批</t>
  </si>
  <si>
    <t>旧团本合影隐藏人物（能力继承）</t>
  </si>
  <si>
    <t>机制、生存、团队执</t>
  </si>
  <si>
    <t>不开麦导致主动报点不足</t>
  </si>
  <si>
    <t>小概率退队</t>
  </si>
  <si>
    <t>孤独的猎心者为旧团本合影隐藏人物；完整继承萌战的个人能力。</t>
  </si>
  <si>
    <t>是</t>
  </si>
  <si>
    <t>P122</t>
  </si>
  <si>
    <t>幻听山河水</t>
  </si>
  <si>
    <t>德鲁伊</t>
  </si>
  <si>
    <t>奶德</t>
  </si>
  <si>
    <t>治疗</t>
  </si>
  <si>
    <t>鸟德</t>
  </si>
  <si>
    <t>有合适就拿</t>
  </si>
  <si>
    <t>奶德熟练|治疗求组|团队治疗没问题</t>
  </si>
  <si>
    <t>顶级</t>
  </si>
  <si>
    <t>厌蠢症</t>
  </si>
  <si>
    <t>压力怪</t>
  </si>
  <si>
    <t>饰品|武器|S|S+</t>
  </si>
  <si>
    <t>顶级机制</t>
  </si>
  <si>
    <t>厌蠢，低质量连续灭团后容易爆炸</t>
  </si>
  <si>
    <t>加入把美味小熊面包、kumaco、阿茸、Jazzmine喷退导致分崩离析的结局</t>
  </si>
  <si>
    <t>条件退队</t>
  </si>
  <si>
    <t>幻听山河水为旧团本合影隐藏人物；继承多多虎能力；八项能力按固定可复现结果随机上下浮动3至5点。</t>
  </si>
  <si>
    <t>P123</t>
  </si>
  <si>
    <t>汐月</t>
  </si>
  <si>
    <t>牧师</t>
  </si>
  <si>
    <t>神牧</t>
  </si>
  <si>
    <t>好看就拿</t>
  </si>
  <si>
    <t>紫梦依依|太子哥来了</t>
  </si>
  <si>
    <t>普通</t>
  </si>
  <si>
    <t>气氛组</t>
  </si>
  <si>
    <t>躺平型</t>
  </si>
  <si>
    <t>毕业装党</t>
  </si>
  <si>
    <t>S|S+|治疗极品</t>
  </si>
  <si>
    <t>气氛活跃、偶有亮眼操作</t>
  </si>
  <si>
    <t>偶尔被其他人顶号掉线灭团，副本全程灭团次数过多偶尔放鸽子/打电话/吃饭退队</t>
  </si>
  <si>
    <t>选择P124汐月后不再出现在池中</t>
  </si>
  <si>
    <t>汐月为双人代上号隐藏人物；密语“太子哥来了”时继承东星太子哥=密语“代做祈福任务”时完整继承动与参与商。</t>
  </si>
  <si>
    <t>P124</t>
  </si>
  <si>
    <t>暗牧</t>
  </si>
  <si>
    <t>猛猛吃排</t>
  </si>
  <si>
    <t>代做祈福任务</t>
  </si>
  <si>
    <t>拱火者</t>
  </si>
  <si>
    <t>捡漏型</t>
  </si>
  <si>
    <t>低价</t>
  </si>
  <si>
    <t>偶尔被其他人顶号掉线灭团</t>
  </si>
  <si>
    <t>选择P123汐月后不再出现在池中</t>
  </si>
  <si>
    <t>汐月为双人代上号隐藏人物；密语“太子哥来了”时继承东星太子哥；密语“代做祈福任务”时完整继承动与参与商”。</t>
  </si>
  <si>
    <t>P125</t>
  </si>
  <si>
    <t>偶是小鸽鸽</t>
  </si>
  <si>
    <t>萨满</t>
  </si>
  <si>
    <t>奶萨</t>
  </si>
  <si>
    <t>有便宜就拿</t>
  </si>
  <si>
    <t>奶萨求组|治疗会打|有提升会出</t>
  </si>
  <si>
    <t>中上</t>
  </si>
  <si>
    <t>小白型</t>
  </si>
  <si>
    <t>低价|合理提升</t>
  </si>
  <si>
    <t>团队治疗考验boss熟练</t>
  </si>
  <si>
    <t>单体治疗boss偶尔走神|缺乏wow常识</t>
  </si>
  <si>
    <t>单体治疗压力boss概率犯错</t>
  </si>
  <si>
    <t>偶是小鸽鸽为旧团本合影隐藏人物；完整继承小鸽鸽的个人能力。</t>
  </si>
  <si>
    <t>P126</t>
  </si>
  <si>
    <t>彼岸星辰</t>
  </si>
  <si>
    <t>术士</t>
  </si>
  <si>
    <t>毁灭术</t>
  </si>
  <si>
    <t>毁灭术求组|远程输出|会听指挥</t>
  </si>
  <si>
    <t>戏精型</t>
  </si>
  <si>
    <t>偶尔电脑卡不动了</t>
  </si>
  <si>
    <t>完整继承东星太子哥的个人能力</t>
  </si>
  <si>
    <t>彼岸星辰为旧团本合影隐藏人物；完整继承东星太子哥的个人能力。</t>
  </si>
  <si>
    <t>P127</t>
  </si>
  <si>
    <t>小香批</t>
  </si>
  <si>
    <t>兽王猎</t>
  </si>
  <si>
    <t>少量消费</t>
  </si>
  <si>
    <t>兽王猎求组|远程输出熟练|有提升会出</t>
  </si>
  <si>
    <t>嘴硬型</t>
  </si>
  <si>
    <t>偶尔忘箭、拿错武器或误开怪</t>
  </si>
  <si>
    <t>完整继承汉祚将尽的个人能力</t>
  </si>
  <si>
    <t>小香批为旧团本合影隐藏人物；完整继承汉祚将尽的个人能力。</t>
  </si>
  <si>
    <t>P128</t>
  </si>
  <si>
    <t>理查德帕克</t>
  </si>
  <si>
    <t>战士</t>
  </si>
  <si>
    <t>狂暴战</t>
  </si>
  <si>
    <t>近战DPS</t>
  </si>
  <si>
    <t>防战</t>
  </si>
  <si>
    <t>没有P键</t>
  </si>
  <si>
    <t>狂暴战全通|可切防战|近战熟练</t>
  </si>
  <si>
    <t>甩锅型</t>
  </si>
  <si>
    <t>钻空子</t>
  </si>
  <si>
    <t>S|S+|武器|饰品</t>
  </si>
  <si>
    <t>顶级输出|全Boss熟练|可指挥|可切坦克</t>
  </si>
  <si>
    <t>全buff进本，dps考验型boss视坦克能力偶尔OT灭团|自身死亡全buff被清后大概率退队</t>
  </si>
  <si>
    <t>全buff进本，dps考验型boss视坦克能力易OT灭团|自身死亡全buff被清后退队</t>
  </si>
  <si>
    <t>理查德帕克为旧团本合影隐藏人物；完整继承安德罗波夫的个人能力；辅修防战。</t>
  </si>
  <si>
    <t>P129</t>
  </si>
  <si>
    <t>开狂暴做面包</t>
  </si>
  <si>
    <t>法师</t>
  </si>
  <si>
    <t>冰法</t>
  </si>
  <si>
    <t>只捡漏</t>
  </si>
  <si>
    <t>冰法求组|远程输出|有提升会出</t>
  </si>
  <si>
    <t>游戏资历久、熟悉常规套路</t>
  </si>
  <si>
    <t>困难局容易躺平</t>
  </si>
  <si>
    <t>正常</t>
  </si>
  <si>
    <t>开狂暴做面包为旧团本合影隐藏人物；完整继承魅惑灵魂之火的个人能力。</t>
  </si>
  <si>
    <t>P130</t>
  </si>
  <si>
    <t>偷心蔡徐坤</t>
  </si>
  <si>
    <t>盗贼</t>
  </si>
  <si>
    <t>战斗贼</t>
  </si>
  <si>
    <t>战斗贼熟练|近战输出|有提升会出</t>
  </si>
  <si>
    <t>宏依赖</t>
  </si>
  <si>
    <t>大老板</t>
  </si>
  <si>
    <t>全部|武器|饰品</t>
  </si>
  <si>
    <t>木桩输出|刺杀节奏|消费强</t>
  </si>
  <si>
    <t>移动战|复杂临场机制</t>
  </si>
  <si>
    <t>永不主动退队</t>
  </si>
  <si>
    <t>偷心蔡徐坤为旧团本合影隐藏人物；完整继承佐贺偶像的个人能力。</t>
  </si>
  <si>
    <t>P131</t>
  </si>
  <si>
    <t>jazzmine</t>
  </si>
  <si>
    <t>毕业必拿</t>
  </si>
  <si>
    <t>调解者</t>
  </si>
  <si>
    <t>鼓舞士气|稳定执行|愿意担责</t>
  </si>
  <si>
    <t>缺乏wow常识|普通机制不讲易犯错</t>
  </si>
  <si>
    <t>加入被幻听山河水、多多虎、多多球喷退导致分崩离析的结局。</t>
  </si>
  <si>
    <t>特殊事件退队</t>
  </si>
  <si>
    <t>jazzmine为旧团本合影隐藏人物；完整继承Kumaco的个人能力。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</si>
</sst>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1182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D4ED8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vertical="center"/>
    </xf>
    <xf numFmtId="1" fontId="2" fillId="3" borderId="2" xfId="49" applyNumberFormat="1" applyFont="1" applyFill="1" applyBorder="1" applyAlignment="1">
      <alignment vertical="center"/>
    </xf>
    <xf numFmtId="176" fontId="2" fillId="3" borderId="2" xfId="49" applyNumberFormat="1" applyFont="1" applyFill="1" applyBorder="1" applyAlignment="1">
      <alignment vertical="center"/>
    </xf>
    <xf numFmtId="3" fontId="2" fillId="3" borderId="2" xfId="49" applyNumberFormat="1" applyFont="1" applyFill="1" applyBorder="1" applyAlignment="1">
      <alignment vertical="center"/>
    </xf>
    <xf numFmtId="2" fontId="2" fillId="3" borderId="2" xfId="49" applyNumberFormat="1" applyFont="1" applyFill="1" applyBorder="1" applyAlignment="1">
      <alignment vertical="center"/>
    </xf>
    <xf numFmtId="0" fontId="2" fillId="3" borderId="3" xfId="49" applyNumberFormat="1" applyFont="1" applyFill="1" applyBorder="1" applyAlignment="1">
      <alignment vertical="center"/>
    </xf>
    <xf numFmtId="1" fontId="2" fillId="3" borderId="3" xfId="49" applyNumberFormat="1" applyFont="1" applyFill="1" applyBorder="1" applyAlignment="1">
      <alignment vertical="center"/>
    </xf>
    <xf numFmtId="176" fontId="2" fillId="3" borderId="3" xfId="49" applyNumberFormat="1" applyFont="1" applyFill="1" applyBorder="1" applyAlignment="1">
      <alignment vertical="center"/>
    </xf>
    <xf numFmtId="3" fontId="2" fillId="3" borderId="3" xfId="49" applyNumberFormat="1" applyFont="1" applyFill="1" applyBorder="1" applyAlignment="1">
      <alignment vertical="center"/>
    </xf>
    <xf numFmtId="2" fontId="2" fillId="3" borderId="3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CompletePlayerTable" displayName="CompletePlayerTable" ref="A1:AR12" totalsRowShown="0">
  <autoFilter xmlns:etc="http://www.wps.cn/officeDocument/2017/etCustomData" ref="A1:AR12" etc:filterBottomFollowUsedRange="0"/>
  <tableColumns count="44">
    <tableColumn id="1" name="人物ID"/>
    <tableColumn id="2" name="名称"/>
    <tableColumn id="3" name="职业"/>
    <tableColumn id="4" name="报名专精"/>
    <tableColumn id="5" name="报名职责"/>
    <tableColumn id="6" name="装等"/>
    <tableColumn id="7" name="公开副修"/>
    <tableColumn id="8" name="公开进度"/>
    <tableColumn id="9" name="成就验证"/>
    <tableColumn id="10" name="消费自述"/>
    <tableColumn id="11" name="报名密语池"/>
    <tableColumn id="12" name="战斗档位"/>
    <tableColumn id="13" name="主能力"/>
    <tableColumn id="14" name="机制"/>
    <tableColumn id="15" name="意识"/>
    <tableColumn id="16" name="稳定"/>
    <tableColumn id="17" name="团队"/>
    <tableColumn id="18" name="学习"/>
    <tableColumn id="19" name="心态"/>
    <tableColumn id="20" name="抗压"/>
    <tableColumn id="21" name="八项能力均值"/>
    <tableColumn id="22" name="主社交"/>
    <tableColumn id="23" name="副社交"/>
    <tableColumn id="24" name="基础退团率"/>
    <tableColumn id="25" name="经济类型"/>
    <tableColumn id="26" name="钱包金币"/>
    <tableColumn id="27" name="保留金币"/>
    <tableColumn id="28" name="可用金币"/>
    <tableColumn id="29" name="消费意愿"/>
    <tableColumn id="30" name="竞价侵略"/>
    <tableColumn id="31" name="议价系数"/>
    <tableColumn id="32" name="购买偏好"/>
    <tableColumn id="33" name="自述诚实度"/>
    <tableColumn id="34" name="来源类型"/>
    <tableColumn id="35" name="性格类型"/>
    <tableColumn id="36" name="优势标签"/>
    <tableColumn id="37" name="弱点标签"/>
    <tableColumn id="38" name="特殊规则"/>
    <tableColumn id="39" name="退团政策"/>
    <tableColumn id="40" name="人物描述"/>
    <tableColumn id="41" name="主专精技能"/>
    <tableColumn id="42" name="Boss经验"/>
    <tableColumn id="43" name="愿意切换"/>
    <tableColumn id="44" name="公开声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2"/>
  <sheetViews>
    <sheetView showGridLines="0" tabSelected="1" topLeftCell="R1" workbookViewId="0">
      <selection activeCell="Y19" sqref="Y19"/>
    </sheetView>
  </sheetViews>
  <sheetFormatPr defaultColWidth="9" defaultRowHeight="13.8"/>
  <cols>
    <col min="1" max="1" width="12" customWidth="1"/>
    <col min="2" max="2" width="25" customWidth="1"/>
    <col min="3" max="6" width="12" customWidth="1"/>
    <col min="7" max="7" width="25" customWidth="1"/>
    <col min="8" max="8" width="18.0083333333333" customWidth="1"/>
    <col min="9" max="10" width="12" customWidth="1"/>
    <col min="11" max="11" width="32.8833333333333" customWidth="1"/>
    <col min="12" max="21" width="12" customWidth="1"/>
    <col min="22" max="22" width="25" customWidth="1"/>
    <col min="23" max="34" width="12" customWidth="1"/>
    <col min="35" max="35" width="25" customWidth="1"/>
    <col min="36" max="36" width="48.6916666666667" customWidth="1"/>
    <col min="37" max="37" width="63.9" customWidth="1"/>
    <col min="38" max="38" width="66" customWidth="1"/>
    <col min="39" max="39" width="25" customWidth="1"/>
    <col min="40" max="40" width="66.9" customWidth="1"/>
    <col min="41" max="44" width="12" customWidth="1"/>
  </cols>
  <sheetData>
    <row r="1" ht="34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5" spans="1:44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3">
        <v>220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4">
        <v>90</v>
      </c>
      <c r="N2" s="4">
        <v>94</v>
      </c>
      <c r="O2" s="4">
        <v>93</v>
      </c>
      <c r="P2" s="4">
        <v>95</v>
      </c>
      <c r="Q2" s="4">
        <v>99</v>
      </c>
      <c r="R2" s="4">
        <v>88</v>
      </c>
      <c r="S2" s="4">
        <v>95</v>
      </c>
      <c r="T2" s="4">
        <v>95</v>
      </c>
      <c r="U2" s="4">
        <f t="shared" ref="U2:U12" si="0">AVERAGE(M2:T2)</f>
        <v>93.625</v>
      </c>
      <c r="V2" s="2" t="s">
        <v>55</v>
      </c>
      <c r="W2" s="2" t="s">
        <v>56</v>
      </c>
      <c r="X2" s="4">
        <v>1</v>
      </c>
      <c r="Y2" s="2" t="s">
        <v>57</v>
      </c>
      <c r="Z2" s="5">
        <v>45000</v>
      </c>
      <c r="AA2" s="5">
        <v>8000</v>
      </c>
      <c r="AB2" s="5">
        <f t="shared" ref="AB2:AB12" si="1">Z2-AA2</f>
        <v>37000</v>
      </c>
      <c r="AC2" s="6">
        <v>56</v>
      </c>
      <c r="AD2" s="6">
        <v>42</v>
      </c>
      <c r="AE2" s="6">
        <v>0.68</v>
      </c>
      <c r="AF2" s="6" t="s">
        <v>58</v>
      </c>
      <c r="AG2" s="6">
        <v>96</v>
      </c>
      <c r="AH2" s="2" t="s">
        <v>59</v>
      </c>
      <c r="AI2" s="2" t="s">
        <v>60</v>
      </c>
      <c r="AJ2" s="2" t="s">
        <v>61</v>
      </c>
      <c r="AK2" s="2" t="s">
        <v>62</v>
      </c>
      <c r="AL2" s="2"/>
      <c r="AM2" s="2" t="s">
        <v>63</v>
      </c>
      <c r="AN2" s="2" t="s">
        <v>64</v>
      </c>
      <c r="AO2" s="3">
        <v>90</v>
      </c>
      <c r="AP2" s="3">
        <v>90</v>
      </c>
      <c r="AQ2" s="2" t="s">
        <v>65</v>
      </c>
      <c r="AR2" s="2" t="s">
        <v>65</v>
      </c>
    </row>
    <row r="3" ht="15" spans="1:44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3">
        <v>220</v>
      </c>
      <c r="G3" s="2" t="s">
        <v>71</v>
      </c>
      <c r="H3" s="2" t="s">
        <v>50</v>
      </c>
      <c r="I3" s="2" t="s">
        <v>51</v>
      </c>
      <c r="J3" s="2" t="s">
        <v>72</v>
      </c>
      <c r="K3" s="2" t="s">
        <v>73</v>
      </c>
      <c r="L3" s="2" t="s">
        <v>74</v>
      </c>
      <c r="M3" s="4">
        <v>95</v>
      </c>
      <c r="N3" s="4">
        <v>99</v>
      </c>
      <c r="O3" s="4">
        <v>93</v>
      </c>
      <c r="P3" s="4">
        <v>100</v>
      </c>
      <c r="Q3" s="4">
        <v>91</v>
      </c>
      <c r="R3" s="4">
        <v>100</v>
      </c>
      <c r="S3" s="4">
        <v>56</v>
      </c>
      <c r="T3" s="4">
        <v>53</v>
      </c>
      <c r="U3" s="4">
        <f t="shared" si="0"/>
        <v>85.875</v>
      </c>
      <c r="V3" s="2" t="s">
        <v>75</v>
      </c>
      <c r="W3" s="2" t="s">
        <v>76</v>
      </c>
      <c r="X3" s="4">
        <v>4</v>
      </c>
      <c r="Y3" s="2" t="s">
        <v>57</v>
      </c>
      <c r="Z3" s="5">
        <v>75000</v>
      </c>
      <c r="AA3" s="5">
        <v>10000</v>
      </c>
      <c r="AB3" s="5">
        <f t="shared" si="1"/>
        <v>65000</v>
      </c>
      <c r="AC3" s="6">
        <v>72</v>
      </c>
      <c r="AD3" s="6">
        <v>45</v>
      </c>
      <c r="AE3" s="6">
        <v>0.72</v>
      </c>
      <c r="AF3" s="6" t="s">
        <v>77</v>
      </c>
      <c r="AG3" s="6">
        <v>92</v>
      </c>
      <c r="AH3" s="2" t="s">
        <v>59</v>
      </c>
      <c r="AI3" s="2" t="s">
        <v>60</v>
      </c>
      <c r="AJ3" s="2" t="s">
        <v>78</v>
      </c>
      <c r="AK3" s="2" t="s">
        <v>79</v>
      </c>
      <c r="AL3" s="7" t="s">
        <v>80</v>
      </c>
      <c r="AM3" s="2" t="s">
        <v>81</v>
      </c>
      <c r="AN3" s="2" t="s">
        <v>82</v>
      </c>
      <c r="AO3" s="3">
        <v>95</v>
      </c>
      <c r="AP3" s="3">
        <v>98</v>
      </c>
      <c r="AQ3" s="2" t="s">
        <v>65</v>
      </c>
      <c r="AR3" s="2" t="s">
        <v>65</v>
      </c>
    </row>
    <row r="4" ht="15" spans="1:44">
      <c r="A4" s="2" t="s">
        <v>83</v>
      </c>
      <c r="B4" s="2" t="s">
        <v>84</v>
      </c>
      <c r="C4" s="2" t="s">
        <v>85</v>
      </c>
      <c r="D4" s="2" t="s">
        <v>86</v>
      </c>
      <c r="E4" s="2" t="s">
        <v>70</v>
      </c>
      <c r="F4" s="3">
        <v>223</v>
      </c>
      <c r="G4" s="2" t="s">
        <v>49</v>
      </c>
      <c r="H4" s="2" t="s">
        <v>50</v>
      </c>
      <c r="I4" s="2" t="s">
        <v>51</v>
      </c>
      <c r="J4" s="2" t="s">
        <v>87</v>
      </c>
      <c r="K4" s="2" t="s">
        <v>88</v>
      </c>
      <c r="L4" s="2" t="s">
        <v>89</v>
      </c>
      <c r="M4" s="4">
        <v>68</v>
      </c>
      <c r="N4" s="4">
        <v>50</v>
      </c>
      <c r="O4" s="4">
        <v>50</v>
      </c>
      <c r="P4" s="4">
        <v>50</v>
      </c>
      <c r="Q4" s="4">
        <v>75</v>
      </c>
      <c r="R4" s="4">
        <v>70</v>
      </c>
      <c r="S4" s="4">
        <v>75</v>
      </c>
      <c r="T4" s="4">
        <v>75</v>
      </c>
      <c r="U4" s="4">
        <f t="shared" si="0"/>
        <v>64.125</v>
      </c>
      <c r="V4" s="2" t="s">
        <v>90</v>
      </c>
      <c r="W4" s="2" t="s">
        <v>91</v>
      </c>
      <c r="X4" s="4">
        <v>4</v>
      </c>
      <c r="Y4" s="2" t="s">
        <v>92</v>
      </c>
      <c r="Z4" s="5">
        <v>55000</v>
      </c>
      <c r="AA4" s="5">
        <v>16000</v>
      </c>
      <c r="AB4" s="5">
        <f t="shared" si="1"/>
        <v>39000</v>
      </c>
      <c r="AC4" s="6">
        <v>82</v>
      </c>
      <c r="AD4" s="6">
        <v>68</v>
      </c>
      <c r="AE4" s="6">
        <v>0.88</v>
      </c>
      <c r="AF4" s="6" t="s">
        <v>93</v>
      </c>
      <c r="AG4" s="6">
        <v>88</v>
      </c>
      <c r="AH4" s="2" t="s">
        <v>59</v>
      </c>
      <c r="AI4" s="2" t="s">
        <v>60</v>
      </c>
      <c r="AJ4" s="2" t="s">
        <v>94</v>
      </c>
      <c r="AK4" s="2" t="s">
        <v>95</v>
      </c>
      <c r="AL4" s="2" t="s">
        <v>96</v>
      </c>
      <c r="AM4" s="2" t="s">
        <v>81</v>
      </c>
      <c r="AN4" s="2" t="s">
        <v>97</v>
      </c>
      <c r="AO4" s="3">
        <v>85</v>
      </c>
      <c r="AP4" s="3">
        <v>91</v>
      </c>
      <c r="AQ4" s="2" t="s">
        <v>65</v>
      </c>
      <c r="AR4" s="2" t="s">
        <v>65</v>
      </c>
    </row>
    <row r="5" ht="15" spans="1:44">
      <c r="A5" s="2" t="s">
        <v>98</v>
      </c>
      <c r="B5" s="2" t="s">
        <v>84</v>
      </c>
      <c r="C5" s="2" t="s">
        <v>85</v>
      </c>
      <c r="D5" s="2" t="s">
        <v>86</v>
      </c>
      <c r="E5" s="2" t="s">
        <v>70</v>
      </c>
      <c r="F5" s="3">
        <v>223</v>
      </c>
      <c r="G5" s="2" t="s">
        <v>99</v>
      </c>
      <c r="H5" s="2" t="s">
        <v>50</v>
      </c>
      <c r="I5" s="2" t="s">
        <v>51</v>
      </c>
      <c r="J5" s="2" t="s">
        <v>100</v>
      </c>
      <c r="K5" s="2" t="s">
        <v>101</v>
      </c>
      <c r="L5" s="2" t="s">
        <v>74</v>
      </c>
      <c r="M5" s="4">
        <v>95</v>
      </c>
      <c r="N5" s="4">
        <v>99</v>
      </c>
      <c r="O5" s="4">
        <v>98</v>
      </c>
      <c r="P5" s="4">
        <v>95</v>
      </c>
      <c r="Q5" s="4">
        <v>90</v>
      </c>
      <c r="R5" s="4">
        <v>95</v>
      </c>
      <c r="S5" s="4">
        <v>68</v>
      </c>
      <c r="T5" s="4">
        <v>65</v>
      </c>
      <c r="U5" s="4">
        <f t="shared" si="0"/>
        <v>88.125</v>
      </c>
      <c r="V5" s="2" t="s">
        <v>102</v>
      </c>
      <c r="W5" s="2" t="s">
        <v>91</v>
      </c>
      <c r="X5" s="4">
        <v>3</v>
      </c>
      <c r="Y5" s="2" t="s">
        <v>103</v>
      </c>
      <c r="Z5" s="5">
        <v>55000</v>
      </c>
      <c r="AA5" s="5">
        <v>40000</v>
      </c>
      <c r="AB5" s="5">
        <f t="shared" si="1"/>
        <v>15000</v>
      </c>
      <c r="AC5" s="6">
        <v>40</v>
      </c>
      <c r="AD5" s="6">
        <v>25</v>
      </c>
      <c r="AE5" s="6">
        <v>0.35</v>
      </c>
      <c r="AF5" s="6" t="s">
        <v>104</v>
      </c>
      <c r="AG5" s="6">
        <v>90</v>
      </c>
      <c r="AH5" s="2" t="s">
        <v>59</v>
      </c>
      <c r="AI5" s="2" t="s">
        <v>60</v>
      </c>
      <c r="AJ5" s="2"/>
      <c r="AK5" s="2" t="s">
        <v>105</v>
      </c>
      <c r="AL5" s="2" t="s">
        <v>106</v>
      </c>
      <c r="AM5" s="2" t="s">
        <v>81</v>
      </c>
      <c r="AN5" s="2" t="s">
        <v>107</v>
      </c>
      <c r="AO5" s="3">
        <v>65</v>
      </c>
      <c r="AP5" s="3">
        <v>60</v>
      </c>
      <c r="AQ5" s="2" t="s">
        <v>65</v>
      </c>
      <c r="AR5" s="2" t="s">
        <v>65</v>
      </c>
    </row>
    <row r="6" ht="15" spans="1:44">
      <c r="A6" s="2" t="s">
        <v>108</v>
      </c>
      <c r="B6" s="2" t="s">
        <v>109</v>
      </c>
      <c r="C6" s="2" t="s">
        <v>110</v>
      </c>
      <c r="D6" s="2" t="s">
        <v>111</v>
      </c>
      <c r="E6" s="2" t="s">
        <v>70</v>
      </c>
      <c r="F6" s="3">
        <v>226</v>
      </c>
      <c r="G6" s="2" t="s">
        <v>49</v>
      </c>
      <c r="H6" s="2" t="s">
        <v>50</v>
      </c>
      <c r="I6" s="2" t="s">
        <v>51</v>
      </c>
      <c r="J6" s="2" t="s">
        <v>112</v>
      </c>
      <c r="K6" s="2" t="s">
        <v>113</v>
      </c>
      <c r="L6" s="2" t="s">
        <v>114</v>
      </c>
      <c r="M6" s="4">
        <v>75</v>
      </c>
      <c r="N6" s="4">
        <v>62</v>
      </c>
      <c r="O6" s="4">
        <v>78</v>
      </c>
      <c r="P6" s="4">
        <v>82</v>
      </c>
      <c r="Q6" s="4">
        <v>85</v>
      </c>
      <c r="R6" s="4">
        <v>90</v>
      </c>
      <c r="S6" s="4">
        <v>85</v>
      </c>
      <c r="T6" s="4">
        <v>85</v>
      </c>
      <c r="U6" s="4">
        <f t="shared" si="0"/>
        <v>80.25</v>
      </c>
      <c r="V6" s="2" t="s">
        <v>115</v>
      </c>
      <c r="W6" s="2" t="s">
        <v>90</v>
      </c>
      <c r="X6" s="4">
        <v>1</v>
      </c>
      <c r="Y6" s="2" t="s">
        <v>103</v>
      </c>
      <c r="Z6" s="5">
        <v>18000</v>
      </c>
      <c r="AA6" s="5">
        <v>5000</v>
      </c>
      <c r="AB6" s="5">
        <f t="shared" si="1"/>
        <v>13000</v>
      </c>
      <c r="AC6" s="6">
        <v>40</v>
      </c>
      <c r="AD6" s="6">
        <v>25</v>
      </c>
      <c r="AE6" s="6">
        <v>0.45</v>
      </c>
      <c r="AF6" s="6" t="s">
        <v>116</v>
      </c>
      <c r="AG6" s="6">
        <v>96</v>
      </c>
      <c r="AH6" s="2" t="s">
        <v>59</v>
      </c>
      <c r="AI6" s="2" t="s">
        <v>60</v>
      </c>
      <c r="AJ6" s="2" t="s">
        <v>117</v>
      </c>
      <c r="AK6" s="2" t="s">
        <v>118</v>
      </c>
      <c r="AL6" s="2" t="s">
        <v>119</v>
      </c>
      <c r="AM6" s="2" t="s">
        <v>63</v>
      </c>
      <c r="AN6" s="2" t="s">
        <v>120</v>
      </c>
      <c r="AO6" s="3">
        <v>70</v>
      </c>
      <c r="AP6" s="3">
        <v>35</v>
      </c>
      <c r="AQ6" s="2" t="s">
        <v>65</v>
      </c>
      <c r="AR6" s="2" t="s">
        <v>65</v>
      </c>
    </row>
    <row r="7" ht="15" spans="1:44">
      <c r="A7" s="2" t="s">
        <v>121</v>
      </c>
      <c r="B7" s="2" t="s">
        <v>122</v>
      </c>
      <c r="C7" s="2" t="s">
        <v>123</v>
      </c>
      <c r="D7" s="2" t="s">
        <v>124</v>
      </c>
      <c r="E7" s="2" t="s">
        <v>48</v>
      </c>
      <c r="F7" s="3">
        <v>223</v>
      </c>
      <c r="G7" s="2" t="s">
        <v>49</v>
      </c>
      <c r="H7" s="2" t="s">
        <v>50</v>
      </c>
      <c r="I7" s="2" t="s">
        <v>51</v>
      </c>
      <c r="J7" s="2" t="s">
        <v>112</v>
      </c>
      <c r="K7" s="2" t="s">
        <v>125</v>
      </c>
      <c r="L7" s="2" t="s">
        <v>114</v>
      </c>
      <c r="M7" s="4">
        <v>75</v>
      </c>
      <c r="N7" s="4">
        <v>50</v>
      </c>
      <c r="O7" s="4">
        <v>60</v>
      </c>
      <c r="P7" s="4">
        <v>50</v>
      </c>
      <c r="Q7" s="4">
        <v>75</v>
      </c>
      <c r="R7" s="4">
        <v>70</v>
      </c>
      <c r="S7" s="4">
        <v>75</v>
      </c>
      <c r="T7" s="4">
        <v>75</v>
      </c>
      <c r="U7" s="4">
        <f t="shared" si="0"/>
        <v>66.25</v>
      </c>
      <c r="V7" s="2" t="s">
        <v>90</v>
      </c>
      <c r="W7" s="2" t="s">
        <v>126</v>
      </c>
      <c r="X7" s="4">
        <v>2</v>
      </c>
      <c r="Y7" s="2" t="s">
        <v>103</v>
      </c>
      <c r="Z7" s="5">
        <v>20000</v>
      </c>
      <c r="AA7" s="5">
        <v>5000</v>
      </c>
      <c r="AB7" s="5">
        <f t="shared" si="1"/>
        <v>15000</v>
      </c>
      <c r="AC7" s="6">
        <v>60</v>
      </c>
      <c r="AD7" s="6">
        <v>50</v>
      </c>
      <c r="AE7" s="6">
        <v>0.48</v>
      </c>
      <c r="AF7" s="6" t="s">
        <v>116</v>
      </c>
      <c r="AG7" s="6">
        <v>85</v>
      </c>
      <c r="AH7" s="2" t="s">
        <v>59</v>
      </c>
      <c r="AI7" s="2" t="s">
        <v>60</v>
      </c>
      <c r="AJ7" s="2" t="s">
        <v>94</v>
      </c>
      <c r="AK7" s="2" t="s">
        <v>127</v>
      </c>
      <c r="AL7" s="2" t="s">
        <v>128</v>
      </c>
      <c r="AM7" s="2" t="s">
        <v>63</v>
      </c>
      <c r="AN7" s="2" t="s">
        <v>129</v>
      </c>
      <c r="AO7" s="3">
        <v>75</v>
      </c>
      <c r="AP7" s="3">
        <v>35</v>
      </c>
      <c r="AQ7" s="2" t="s">
        <v>65</v>
      </c>
      <c r="AR7" s="2" t="s">
        <v>65</v>
      </c>
    </row>
    <row r="8" ht="15" spans="1:44">
      <c r="A8" s="2" t="s">
        <v>130</v>
      </c>
      <c r="B8" s="2" t="s">
        <v>131</v>
      </c>
      <c r="C8" s="2" t="s">
        <v>46</v>
      </c>
      <c r="D8" s="2" t="s">
        <v>132</v>
      </c>
      <c r="E8" s="2" t="s">
        <v>48</v>
      </c>
      <c r="F8" s="3">
        <v>220</v>
      </c>
      <c r="G8" s="2" t="s">
        <v>49</v>
      </c>
      <c r="H8" s="2" t="s">
        <v>50</v>
      </c>
      <c r="I8" s="2" t="s">
        <v>51</v>
      </c>
      <c r="J8" s="2" t="s">
        <v>133</v>
      </c>
      <c r="K8" s="2" t="s">
        <v>134</v>
      </c>
      <c r="L8" s="2" t="s">
        <v>114</v>
      </c>
      <c r="M8" s="4">
        <v>80</v>
      </c>
      <c r="N8" s="4">
        <v>70</v>
      </c>
      <c r="O8" s="4">
        <v>68</v>
      </c>
      <c r="P8" s="4">
        <v>65</v>
      </c>
      <c r="Q8" s="4">
        <v>87</v>
      </c>
      <c r="R8" s="4">
        <v>75</v>
      </c>
      <c r="S8" s="4">
        <v>80</v>
      </c>
      <c r="T8" s="4">
        <v>80</v>
      </c>
      <c r="U8" s="4">
        <f t="shared" si="0"/>
        <v>75.625</v>
      </c>
      <c r="V8" s="2" t="s">
        <v>102</v>
      </c>
      <c r="W8" s="2" t="s">
        <v>135</v>
      </c>
      <c r="X8" s="4">
        <v>2</v>
      </c>
      <c r="Y8" s="2" t="s">
        <v>103</v>
      </c>
      <c r="Z8" s="5">
        <v>18000</v>
      </c>
      <c r="AA8" s="5">
        <v>4000</v>
      </c>
      <c r="AB8" s="5">
        <f t="shared" si="1"/>
        <v>14000</v>
      </c>
      <c r="AC8" s="6">
        <v>38</v>
      </c>
      <c r="AD8" s="6">
        <v>28</v>
      </c>
      <c r="AE8" s="6">
        <v>0.5</v>
      </c>
      <c r="AF8" s="6" t="s">
        <v>104</v>
      </c>
      <c r="AG8" s="6">
        <v>90</v>
      </c>
      <c r="AH8" s="2" t="s">
        <v>59</v>
      </c>
      <c r="AI8" s="2" t="s">
        <v>60</v>
      </c>
      <c r="AJ8" s="2" t="s">
        <v>94</v>
      </c>
      <c r="AK8" s="2" t="s">
        <v>136</v>
      </c>
      <c r="AL8" s="2" t="s">
        <v>137</v>
      </c>
      <c r="AM8" s="2" t="s">
        <v>63</v>
      </c>
      <c r="AN8" s="2" t="s">
        <v>138</v>
      </c>
      <c r="AO8" s="3">
        <v>80</v>
      </c>
      <c r="AP8" s="3">
        <v>72</v>
      </c>
      <c r="AQ8" s="2" t="s">
        <v>65</v>
      </c>
      <c r="AR8" s="2" t="s">
        <v>65</v>
      </c>
    </row>
    <row r="9" ht="15" spans="1:44">
      <c r="A9" s="2" t="s">
        <v>139</v>
      </c>
      <c r="B9" s="2" t="s">
        <v>140</v>
      </c>
      <c r="C9" s="2" t="s">
        <v>141</v>
      </c>
      <c r="D9" s="2" t="s">
        <v>142</v>
      </c>
      <c r="E9" s="2" t="s">
        <v>143</v>
      </c>
      <c r="F9" s="3">
        <v>228</v>
      </c>
      <c r="G9" s="2" t="s">
        <v>144</v>
      </c>
      <c r="H9" s="2" t="s">
        <v>50</v>
      </c>
      <c r="I9" s="2" t="s">
        <v>51</v>
      </c>
      <c r="J9" s="2" t="s">
        <v>145</v>
      </c>
      <c r="K9" s="2" t="s">
        <v>146</v>
      </c>
      <c r="L9" s="2" t="s">
        <v>74</v>
      </c>
      <c r="M9" s="4">
        <v>95</v>
      </c>
      <c r="N9" s="4">
        <v>96</v>
      </c>
      <c r="O9" s="4">
        <v>96</v>
      </c>
      <c r="P9" s="4">
        <v>94</v>
      </c>
      <c r="Q9" s="4">
        <v>85</v>
      </c>
      <c r="R9" s="4">
        <v>98</v>
      </c>
      <c r="S9" s="4">
        <v>60</v>
      </c>
      <c r="T9" s="4">
        <v>55</v>
      </c>
      <c r="U9" s="4">
        <f t="shared" si="0"/>
        <v>84.875</v>
      </c>
      <c r="V9" s="2" t="s">
        <v>147</v>
      </c>
      <c r="W9" s="2" t="s">
        <v>148</v>
      </c>
      <c r="X9" s="4">
        <v>3</v>
      </c>
      <c r="Y9" s="2" t="s">
        <v>92</v>
      </c>
      <c r="Z9" s="5">
        <v>100000</v>
      </c>
      <c r="AA9" s="5">
        <v>20000</v>
      </c>
      <c r="AB9" s="5">
        <f t="shared" si="1"/>
        <v>80000</v>
      </c>
      <c r="AC9" s="6">
        <v>90</v>
      </c>
      <c r="AD9" s="6">
        <v>80</v>
      </c>
      <c r="AE9" s="6">
        <v>1</v>
      </c>
      <c r="AF9" s="6" t="s">
        <v>149</v>
      </c>
      <c r="AG9" s="6">
        <v>95</v>
      </c>
      <c r="AH9" s="2" t="s">
        <v>59</v>
      </c>
      <c r="AI9" s="2" t="s">
        <v>60</v>
      </c>
      <c r="AJ9" s="2" t="s">
        <v>150</v>
      </c>
      <c r="AK9" s="2" t="s">
        <v>151</v>
      </c>
      <c r="AL9" s="2" t="s">
        <v>152</v>
      </c>
      <c r="AM9" s="2" t="s">
        <v>81</v>
      </c>
      <c r="AN9" s="2" t="s">
        <v>153</v>
      </c>
      <c r="AO9" s="3">
        <v>95</v>
      </c>
      <c r="AP9" s="3">
        <v>98</v>
      </c>
      <c r="AQ9" s="2" t="s">
        <v>65</v>
      </c>
      <c r="AR9" s="2" t="s">
        <v>65</v>
      </c>
    </row>
    <row r="10" ht="15" spans="1:44">
      <c r="A10" s="2" t="s">
        <v>154</v>
      </c>
      <c r="B10" s="2" t="s">
        <v>155</v>
      </c>
      <c r="C10" s="2" t="s">
        <v>156</v>
      </c>
      <c r="D10" s="2" t="s">
        <v>157</v>
      </c>
      <c r="E10" s="2" t="s">
        <v>48</v>
      </c>
      <c r="F10" s="3">
        <v>222</v>
      </c>
      <c r="G10" s="2" t="s">
        <v>49</v>
      </c>
      <c r="H10" s="2" t="s">
        <v>50</v>
      </c>
      <c r="I10" s="2" t="s">
        <v>51</v>
      </c>
      <c r="J10" s="2" t="s">
        <v>158</v>
      </c>
      <c r="K10" s="2" t="s">
        <v>159</v>
      </c>
      <c r="L10" s="2" t="s">
        <v>89</v>
      </c>
      <c r="M10" s="4">
        <v>66</v>
      </c>
      <c r="N10" s="4">
        <v>55</v>
      </c>
      <c r="O10" s="4">
        <v>75</v>
      </c>
      <c r="P10" s="4">
        <v>75</v>
      </c>
      <c r="Q10" s="4">
        <v>55</v>
      </c>
      <c r="R10" s="4">
        <v>70</v>
      </c>
      <c r="S10" s="4">
        <v>65</v>
      </c>
      <c r="T10" s="4">
        <v>55</v>
      </c>
      <c r="U10" s="4">
        <f t="shared" si="0"/>
        <v>64.5</v>
      </c>
      <c r="V10" s="2" t="s">
        <v>147</v>
      </c>
      <c r="W10" s="2" t="s">
        <v>91</v>
      </c>
      <c r="X10" s="4">
        <v>2</v>
      </c>
      <c r="Y10" s="2" t="s">
        <v>103</v>
      </c>
      <c r="Z10" s="5">
        <v>6500</v>
      </c>
      <c r="AA10" s="5">
        <v>500</v>
      </c>
      <c r="AB10" s="5">
        <f t="shared" si="1"/>
        <v>6000</v>
      </c>
      <c r="AC10" s="6">
        <v>25</v>
      </c>
      <c r="AD10" s="6">
        <v>20</v>
      </c>
      <c r="AE10" s="6">
        <v>0.35</v>
      </c>
      <c r="AF10" s="6" t="s">
        <v>104</v>
      </c>
      <c r="AG10" s="6">
        <v>80</v>
      </c>
      <c r="AH10" s="2" t="s">
        <v>59</v>
      </c>
      <c r="AI10" s="2" t="s">
        <v>60</v>
      </c>
      <c r="AJ10" s="2" t="s">
        <v>160</v>
      </c>
      <c r="AK10" s="2" t="s">
        <v>161</v>
      </c>
      <c r="AL10" s="2"/>
      <c r="AM10" s="2" t="s">
        <v>162</v>
      </c>
      <c r="AN10" s="2" t="s">
        <v>163</v>
      </c>
      <c r="AO10" s="3">
        <v>65</v>
      </c>
      <c r="AP10" s="3">
        <v>70</v>
      </c>
      <c r="AQ10" s="2" t="s">
        <v>65</v>
      </c>
      <c r="AR10" s="2" t="s">
        <v>65</v>
      </c>
    </row>
    <row r="11" ht="15" spans="1:44">
      <c r="A11" s="7" t="s">
        <v>164</v>
      </c>
      <c r="B11" s="2" t="s">
        <v>165</v>
      </c>
      <c r="C11" s="2" t="s">
        <v>166</v>
      </c>
      <c r="D11" s="2" t="s">
        <v>167</v>
      </c>
      <c r="E11" s="2" t="s">
        <v>143</v>
      </c>
      <c r="F11" s="3">
        <v>226</v>
      </c>
      <c r="G11" s="2" t="s">
        <v>49</v>
      </c>
      <c r="H11" s="2" t="s">
        <v>50</v>
      </c>
      <c r="I11" s="2" t="s">
        <v>51</v>
      </c>
      <c r="J11" s="2" t="s">
        <v>57</v>
      </c>
      <c r="K11" s="2" t="s">
        <v>168</v>
      </c>
      <c r="L11" s="2" t="s">
        <v>54</v>
      </c>
      <c r="M11" s="4">
        <v>75</v>
      </c>
      <c r="N11" s="4">
        <v>68</v>
      </c>
      <c r="O11" s="4">
        <v>69</v>
      </c>
      <c r="P11" s="4">
        <v>76</v>
      </c>
      <c r="Q11" s="4">
        <v>70</v>
      </c>
      <c r="R11" s="4">
        <v>72</v>
      </c>
      <c r="S11" s="4">
        <v>95</v>
      </c>
      <c r="T11" s="4">
        <v>95</v>
      </c>
      <c r="U11" s="4">
        <f t="shared" si="0"/>
        <v>77.5</v>
      </c>
      <c r="V11" s="2" t="s">
        <v>135</v>
      </c>
      <c r="W11" s="2" t="s">
        <v>169</v>
      </c>
      <c r="X11" s="4">
        <v>0</v>
      </c>
      <c r="Y11" s="2" t="s">
        <v>170</v>
      </c>
      <c r="Z11" s="5">
        <v>145000</v>
      </c>
      <c r="AA11" s="5">
        <v>16000</v>
      </c>
      <c r="AB11" s="5">
        <f t="shared" si="1"/>
        <v>129000</v>
      </c>
      <c r="AC11" s="6">
        <v>94</v>
      </c>
      <c r="AD11" s="6">
        <v>92</v>
      </c>
      <c r="AE11" s="6">
        <v>1.08</v>
      </c>
      <c r="AF11" s="6" t="s">
        <v>171</v>
      </c>
      <c r="AG11" s="6">
        <v>88</v>
      </c>
      <c r="AH11" s="2" t="s">
        <v>59</v>
      </c>
      <c r="AI11" s="2" t="s">
        <v>60</v>
      </c>
      <c r="AJ11" s="2" t="s">
        <v>172</v>
      </c>
      <c r="AK11" s="2" t="s">
        <v>173</v>
      </c>
      <c r="AL11" s="2"/>
      <c r="AM11" s="2" t="s">
        <v>174</v>
      </c>
      <c r="AN11" s="2" t="s">
        <v>175</v>
      </c>
      <c r="AO11" s="3">
        <v>80</v>
      </c>
      <c r="AP11" s="3">
        <v>85</v>
      </c>
      <c r="AQ11" s="2" t="s">
        <v>65</v>
      </c>
      <c r="AR11" s="2" t="s">
        <v>65</v>
      </c>
    </row>
    <row r="12" ht="15" spans="1:44">
      <c r="A12" s="7" t="s">
        <v>176</v>
      </c>
      <c r="B12" s="7" t="s">
        <v>177</v>
      </c>
      <c r="C12" s="7" t="s">
        <v>156</v>
      </c>
      <c r="D12" s="7" t="s">
        <v>157</v>
      </c>
      <c r="E12" s="7" t="s">
        <v>48</v>
      </c>
      <c r="F12" s="8">
        <v>224</v>
      </c>
      <c r="G12" s="7" t="s">
        <v>49</v>
      </c>
      <c r="H12" s="7" t="s">
        <v>50</v>
      </c>
      <c r="I12" s="7" t="s">
        <v>51</v>
      </c>
      <c r="J12" s="7" t="s">
        <v>178</v>
      </c>
      <c r="K12" s="7" t="s">
        <v>159</v>
      </c>
      <c r="L12" s="7" t="s">
        <v>114</v>
      </c>
      <c r="M12" s="9">
        <v>64</v>
      </c>
      <c r="N12" s="9">
        <v>78</v>
      </c>
      <c r="O12" s="9">
        <v>80</v>
      </c>
      <c r="P12" s="9">
        <v>78</v>
      </c>
      <c r="Q12" s="9">
        <v>85</v>
      </c>
      <c r="R12" s="9">
        <v>80</v>
      </c>
      <c r="S12" s="9">
        <v>95</v>
      </c>
      <c r="T12" s="9">
        <v>95</v>
      </c>
      <c r="U12" s="9">
        <f t="shared" si="0"/>
        <v>81.875</v>
      </c>
      <c r="V12" s="7" t="s">
        <v>90</v>
      </c>
      <c r="W12" s="7" t="s">
        <v>179</v>
      </c>
      <c r="X12" s="9">
        <v>0</v>
      </c>
      <c r="Y12" s="7" t="s">
        <v>92</v>
      </c>
      <c r="Z12" s="10">
        <v>76000</v>
      </c>
      <c r="AA12" s="10">
        <v>10000</v>
      </c>
      <c r="AB12" s="10">
        <f t="shared" si="1"/>
        <v>66000</v>
      </c>
      <c r="AC12" s="11">
        <v>76</v>
      </c>
      <c r="AD12" s="11">
        <v>68</v>
      </c>
      <c r="AE12" s="11">
        <v>0.9</v>
      </c>
      <c r="AF12" s="11" t="s">
        <v>93</v>
      </c>
      <c r="AG12" s="11">
        <v>92</v>
      </c>
      <c r="AH12" s="2" t="s">
        <v>59</v>
      </c>
      <c r="AI12" s="7" t="s">
        <v>60</v>
      </c>
      <c r="AJ12" s="7" t="s">
        <v>180</v>
      </c>
      <c r="AK12" s="7" t="s">
        <v>181</v>
      </c>
      <c r="AL12" s="7" t="s">
        <v>182</v>
      </c>
      <c r="AM12" s="7" t="s">
        <v>183</v>
      </c>
      <c r="AN12" s="7" t="s">
        <v>184</v>
      </c>
      <c r="AO12" s="8">
        <v>66</v>
      </c>
      <c r="AP12" s="8">
        <v>86</v>
      </c>
      <c r="AQ12" s="7" t="s">
        <v>65</v>
      </c>
      <c r="AR12" s="7" t="s">
        <v>65</v>
      </c>
    </row>
  </sheetData>
  <conditionalFormatting sqref="M4:U4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conditionalFormatting sqref="M2:U3 M5:U12">
    <cfRule type="colorScale" priority="2">
      <colorScale>
        <cfvo type="min"/>
        <cfvo type="percentile" val="50"/>
        <cfvo type="max"/>
        <color rgb="FFFCA5A5"/>
        <color rgb="FFFDE68A"/>
        <color rgb="FF86EFAC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谷雨泽</cp:lastModifiedBy>
  <dcterms:created xsi:type="dcterms:W3CDTF">2026-07-27T03:47:00Z</dcterms:created>
  <dcterms:modified xsi:type="dcterms:W3CDTF">2026-07-27T09:11:49Z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49F279B2548E441FA6248EFE0312C82B_13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